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s" sheetId="1" state="visible" r:id="rId3"/>
    <sheet name="Dashboard" sheetId="2" state="visible" r:id="rId4"/>
    <sheet name="Budget Plan" sheetId="3" state="visible" r:id="rId5"/>
    <sheet name="Char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<sst xmlns="http://schemas.openxmlformats.org/spreadsheetml/2006/main" count="108" uniqueCount="60">
  <si>
    <t xml:space="preserve">Transaction Register — June 2025</t>
  </si>
  <si>
    <t xml:space="preserve">#</t>
  </si>
  <si>
    <t xml:space="preserve">Description</t>
  </si>
  <si>
    <t xml:space="preserve">Amount (₹)</t>
  </si>
  <si>
    <t xml:space="preserve">Category</t>
  </si>
  <si>
    <t xml:space="preserve">Date</t>
  </si>
  <si>
    <t xml:space="preserve">Type</t>
  </si>
  <si>
    <t xml:space="preserve">Monthly Salary</t>
  </si>
  <si>
    <t xml:space="preserve">Income</t>
  </si>
  <si>
    <t xml:space="preserve">01-Jun-25</t>
  </si>
  <si>
    <t xml:space="preserve">Credit</t>
  </si>
  <si>
    <t xml:space="preserve">House Rent</t>
  </si>
  <si>
    <t xml:space="preserve">Housing</t>
  </si>
  <si>
    <t xml:space="preserve">Debit</t>
  </si>
  <si>
    <t xml:space="preserve">Grocery Shopping</t>
  </si>
  <si>
    <t xml:space="preserve">Food</t>
  </si>
  <si>
    <t xml:space="preserve">03-Jun-25</t>
  </si>
  <si>
    <t xml:space="preserve">Electricity Bill</t>
  </si>
  <si>
    <t xml:space="preserve">Utilities</t>
  </si>
  <si>
    <t xml:space="preserve">05-Jun-25</t>
  </si>
  <si>
    <t xml:space="preserve">Auto/Cab Rides</t>
  </si>
  <si>
    <t xml:space="preserve">Transport</t>
  </si>
  <si>
    <t xml:space="preserve">06-Jun-25</t>
  </si>
  <si>
    <t xml:space="preserve">Netflix &amp; OTT</t>
  </si>
  <si>
    <t xml:space="preserve">Entertainment</t>
  </si>
  <si>
    <t xml:space="preserve">07-Jun-25</t>
  </si>
  <si>
    <t xml:space="preserve">Doctor Consultation</t>
  </si>
  <si>
    <t xml:space="preserve">Health</t>
  </si>
  <si>
    <t xml:space="preserve">10-Jun-25</t>
  </si>
  <si>
    <t xml:space="preserve">Online Course</t>
  </si>
  <si>
    <t xml:space="preserve">Education</t>
  </si>
  <si>
    <t xml:space="preserve">12-Jun-25</t>
  </si>
  <si>
    <t xml:space="preserve">Clothes Shopping</t>
  </si>
  <si>
    <t xml:space="preserve">Shopping</t>
  </si>
  <si>
    <t xml:space="preserve">15-Jun-25</t>
  </si>
  <si>
    <t xml:space="preserve">Mutual Fund SIP</t>
  </si>
  <si>
    <t xml:space="preserve">Savings</t>
  </si>
  <si>
    <t xml:space="preserve">20-Jun-25</t>
  </si>
  <si>
    <t xml:space="preserve">Miscellaneous</t>
  </si>
  <si>
    <t xml:space="preserve">Misc</t>
  </si>
  <si>
    <t xml:space="preserve">25-Jun-25</t>
  </si>
  <si>
    <t xml:space="preserve">Freelance Income</t>
  </si>
  <si>
    <t xml:space="preserve">28-Jun-25</t>
  </si>
  <si>
    <t xml:space="preserve">NET BALANCE</t>
  </si>
  <si>
    <t xml:space="preserve">💰 Personal Budget Tracker — Monthly Dashboard</t>
  </si>
  <si>
    <t xml:space="preserve">Total Income</t>
  </si>
  <si>
    <t xml:space="preserve">Total Expenses</t>
  </si>
  <si>
    <t xml:space="preserve">Net Savings</t>
  </si>
  <si>
    <t xml:space="preserve">Savings Rate</t>
  </si>
  <si>
    <t xml:space="preserve">Actual (₹)</t>
  </si>
  <si>
    <t xml:space="preserve">Budget (₹)</t>
  </si>
  <si>
    <t xml:space="preserve">% of Expenses</t>
  </si>
  <si>
    <t xml:space="preserve">Status</t>
  </si>
  <si>
    <t xml:space="preserve">Average Expense per Category:</t>
  </si>
  <si>
    <t xml:space="preserve">Monthly Budget Plan vs Actual</t>
  </si>
  <si>
    <t xml:space="preserve">Planned (₹)</t>
  </si>
  <si>
    <t xml:space="preserve">Variance (₹)</t>
  </si>
  <si>
    <t xml:space="preserve">TOTAL</t>
  </si>
  <si>
    <t xml:space="preserve">Visual Spending Analysis</t>
  </si>
  <si>
    <t xml:space="preserve">Amount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</si>
</sst>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.00"/>
    <numFmt numFmtId="166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8"/>
      <color rgb="FF2E75B6"/>
      <name val="Arial"/>
      <family val="0"/>
      <charset val="1"/>
    </font>
    <font>
      <b val="true"/>
      <sz val="18"/>
      <color rgb="FFC00000"/>
      <name val="Arial"/>
      <family val="0"/>
      <charset val="1"/>
    </font>
    <font>
      <b val="true"/>
      <sz val="18"/>
      <color rgb="FF375623"/>
      <name val="Arial"/>
      <family val="0"/>
      <charset val="1"/>
    </font>
    <font>
      <b val="true"/>
      <sz val="18"/>
      <color rgb="FF7030A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672A8"/>
      </patternFill>
    </fill>
    <fill>
      <patternFill patternType="solid">
        <fgColor rgb="FFEBF3FB"/>
        <bgColor rgb="FFF9F9F9"/>
      </patternFill>
    </fill>
    <fill>
      <patternFill patternType="solid">
        <fgColor rgb="FFC00000"/>
        <bgColor rgb="FF800000"/>
      </patternFill>
    </fill>
    <fill>
      <patternFill patternType="solid">
        <fgColor rgb="FF375623"/>
        <bgColor rgb="FF333300"/>
      </patternFill>
    </fill>
    <fill>
      <patternFill patternType="solid">
        <fgColor rgb="FF7030A0"/>
        <bgColor rgb="FF72599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FBFBF"/>
      <rgbColor rgb="FF878787"/>
      <rgbColor rgb="FF93A9CE"/>
      <rgbColor rgb="FFAB4744"/>
      <rgbColor rgb="FFF9F9F9"/>
      <rgbColor rgb="FFEBF3FB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8CD97"/>
      <rgbColor rgb="FFD09493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725990"/>
      <rgbColor rgb="FFA99BBD"/>
      <rgbColor rgb="FF003366"/>
      <rgbColor rgb="FF4299B0"/>
      <rgbColor rgb="FF003300"/>
      <rgbColor rgb="FF333300"/>
      <rgbColor rgb="FF993300"/>
      <rgbColor rgb="FF7030A0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Category-wise Expenses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Charts!B2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Charts!$A$3:$A$12</c:f>
              <c:strCache>
                <c:ptCount val="10"/>
                <c:pt idx="0">
                  <c:v>Housing</c:v>
                </c:pt>
                <c:pt idx="1">
                  <c:v>Food</c:v>
                </c:pt>
                <c:pt idx="2">
                  <c:v>Transport</c:v>
                </c:pt>
                <c:pt idx="3">
                  <c:v>Utilities</c:v>
                </c:pt>
                <c:pt idx="4">
                  <c:v>Entertainment</c:v>
                </c:pt>
                <c:pt idx="5">
                  <c:v>Health</c:v>
                </c:pt>
                <c:pt idx="6">
                  <c:v>Education</c:v>
                </c:pt>
                <c:pt idx="7">
                  <c:v>Shopping</c:v>
                </c:pt>
                <c:pt idx="8">
                  <c:v>Savings</c:v>
                </c:pt>
                <c:pt idx="9">
                  <c:v>Misc</c:v>
                </c:pt>
              </c:strCache>
            </c:strRef>
          </c:cat>
          <c:val>
            <c:numRef>
              <c:f>Charts!$B$3:$B$12</c:f>
              <c:numCache>
                <c:formatCode>General</c:formatCode>
                <c:ptCount val="10"/>
                <c:pt idx="0">
                  <c:v>12000</c:v>
                </c:pt>
                <c:pt idx="1">
                  <c:v>4500</c:v>
                </c:pt>
                <c:pt idx="2">
                  <c:v>1800</c:v>
                </c:pt>
                <c:pt idx="3">
                  <c:v>2200</c:v>
                </c:pt>
                <c:pt idx="4">
                  <c:v>999</c:v>
                </c:pt>
                <c:pt idx="5">
                  <c:v>800</c:v>
                </c:pt>
                <c:pt idx="6">
                  <c:v>1500</c:v>
                </c:pt>
                <c:pt idx="7">
                  <c:v>3500</c:v>
                </c:pt>
                <c:pt idx="8">
                  <c:v>5000</c:v>
                </c:pt>
                <c:pt idx="9">
                  <c:v>1200</c:v>
                </c:pt>
              </c:numCache>
            </c:numRef>
          </c:val>
        </c:ser>
        <c:gapWidth val="150"/>
        <c:overlap val="0"/>
        <c:axId val="24003759"/>
        <c:axId val="98358944"/>
      </c:barChart>
      <c:catAx>
        <c:axId val="240037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358944"/>
        <c:crosses val="autoZero"/>
        <c:auto val="1"/>
        <c:lblAlgn val="ctr"/>
        <c:lblOffset val="100"/>
        <c:noMultiLvlLbl val="0"/>
      </c:catAx>
      <c:valAx>
        <c:axId val="983589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0037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Spending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Charts!B2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8"/>
            <c:spPr>
              <a:solidFill>
                <a:srgbClr val="b8cd9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9"/>
            <c:spPr>
              <a:solidFill>
                <a:srgbClr val="a99bbd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Charts!$A$3:$A$12</c:f>
              <c:strCache>
                <c:ptCount val="10"/>
                <c:pt idx="0">
                  <c:v>Housing</c:v>
                </c:pt>
                <c:pt idx="1">
                  <c:v>Food</c:v>
                </c:pt>
                <c:pt idx="2">
                  <c:v>Transport</c:v>
                </c:pt>
                <c:pt idx="3">
                  <c:v>Utilities</c:v>
                </c:pt>
                <c:pt idx="4">
                  <c:v>Entertainment</c:v>
                </c:pt>
                <c:pt idx="5">
                  <c:v>Health</c:v>
                </c:pt>
                <c:pt idx="6">
                  <c:v>Education</c:v>
                </c:pt>
                <c:pt idx="7">
                  <c:v>Shopping</c:v>
                </c:pt>
                <c:pt idx="8">
                  <c:v>Savings</c:v>
                </c:pt>
                <c:pt idx="9">
                  <c:v>Misc</c:v>
                </c:pt>
              </c:strCache>
            </c:strRef>
          </c:cat>
          <c:val>
            <c:numRef>
              <c:f>Charts!$B$3:$B$12</c:f>
              <c:numCache>
                <c:formatCode>General</c:formatCode>
                <c:ptCount val="10"/>
                <c:pt idx="0">
                  <c:v>12000</c:v>
                </c:pt>
                <c:pt idx="1">
                  <c:v>4500</c:v>
                </c:pt>
                <c:pt idx="2">
                  <c:v>1800</c:v>
                </c:pt>
                <c:pt idx="3">
                  <c:v>2200</c:v>
                </c:pt>
                <c:pt idx="4">
                  <c:v>999</c:v>
                </c:pt>
                <c:pt idx="5">
                  <c:v>800</c:v>
                </c:pt>
                <c:pt idx="6">
                  <c:v>1500</c:v>
                </c:pt>
                <c:pt idx="7">
                  <c:v>3500</c:v>
                </c:pt>
                <c:pt idx="8">
                  <c:v>5000</c:v>
                </c:pt>
                <c:pt idx="9">
                  <c:v>1200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0</xdr:rowOff>
    </xdr:from>
    <xdr:to>
      <xdr:col>14</xdr:col>
      <xdr:colOff>473040</xdr:colOff>
      <xdr:row>28</xdr:row>
      <xdr:rowOff>86760</xdr:rowOff>
    </xdr:to>
    <xdr:graphicFrame>
      <xdr:nvGraphicFramePr>
        <xdr:cNvPr id="0" name="Chart 1"/>
        <xdr:cNvGraphicFramePr/>
      </xdr:nvGraphicFramePr>
      <xdr:xfrm>
        <a:off x="1834560" y="571680"/>
        <a:ext cx="71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23</xdr:row>
      <xdr:rowOff>0</xdr:rowOff>
    </xdr:from>
    <xdr:to>
      <xdr:col>12</xdr:col>
      <xdr:colOff>255960</xdr:colOff>
      <xdr:row>49</xdr:row>
      <xdr:rowOff>86760</xdr:rowOff>
    </xdr:to>
    <xdr:graphicFrame>
      <xdr:nvGraphicFramePr>
        <xdr:cNvPr id="1" name="Chart 2"/>
        <xdr:cNvGraphicFramePr/>
      </xdr:nvGraphicFramePr>
      <xdr:xfrm>
        <a:off x="1834560" y="4572000"/>
        <a:ext cx="57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5" hidden="false" customHeight="false" outlineLevel="0" collapsed="false">
      <c r="A3" s="3" t="n">
        <v>1</v>
      </c>
      <c r="B3" s="4" t="s">
        <v>7</v>
      </c>
      <c r="C3" s="5" t="n">
        <v>55000</v>
      </c>
      <c r="D3" s="4" t="s">
        <v>8</v>
      </c>
      <c r="E3" s="3" t="s">
        <v>9</v>
      </c>
      <c r="F3" s="3" t="s">
        <v>10</v>
      </c>
    </row>
    <row r="4" customFormat="false" ht="15" hidden="false" customHeight="false" outlineLevel="0" collapsed="false">
      <c r="A4" s="6" t="n">
        <v>2</v>
      </c>
      <c r="B4" s="7" t="s">
        <v>11</v>
      </c>
      <c r="C4" s="8" t="n">
        <v>-12000</v>
      </c>
      <c r="D4" s="7" t="s">
        <v>12</v>
      </c>
      <c r="E4" s="6" t="s">
        <v>9</v>
      </c>
      <c r="F4" s="6" t="s">
        <v>13</v>
      </c>
    </row>
    <row r="5" customFormat="false" ht="15" hidden="false" customHeight="false" outlineLevel="0" collapsed="false">
      <c r="A5" s="3" t="n">
        <v>3</v>
      </c>
      <c r="B5" s="4" t="s">
        <v>14</v>
      </c>
      <c r="C5" s="9" t="n">
        <v>-4500</v>
      </c>
      <c r="D5" s="4" t="s">
        <v>15</v>
      </c>
      <c r="E5" s="3" t="s">
        <v>16</v>
      </c>
      <c r="F5" s="3" t="s">
        <v>13</v>
      </c>
    </row>
    <row r="6" customFormat="false" ht="15" hidden="false" customHeight="false" outlineLevel="0" collapsed="false">
      <c r="A6" s="6" t="n">
        <v>4</v>
      </c>
      <c r="B6" s="7" t="s">
        <v>17</v>
      </c>
      <c r="C6" s="8" t="n">
        <v>-1800</v>
      </c>
      <c r="D6" s="7" t="s">
        <v>18</v>
      </c>
      <c r="E6" s="6" t="s">
        <v>19</v>
      </c>
      <c r="F6" s="6" t="s">
        <v>13</v>
      </c>
    </row>
    <row r="7" customFormat="false" ht="15" hidden="false" customHeight="false" outlineLevel="0" collapsed="false">
      <c r="A7" s="3" t="n">
        <v>5</v>
      </c>
      <c r="B7" s="4" t="s">
        <v>20</v>
      </c>
      <c r="C7" s="9" t="n">
        <v>-2200</v>
      </c>
      <c r="D7" s="4" t="s">
        <v>21</v>
      </c>
      <c r="E7" s="3" t="s">
        <v>22</v>
      </c>
      <c r="F7" s="3" t="s">
        <v>13</v>
      </c>
    </row>
    <row r="8" customFormat="false" ht="15" hidden="false" customHeight="false" outlineLevel="0" collapsed="false">
      <c r="A8" s="6" t="n">
        <v>6</v>
      </c>
      <c r="B8" s="7" t="s">
        <v>23</v>
      </c>
      <c r="C8" s="8" t="n">
        <v>-999</v>
      </c>
      <c r="D8" s="7" t="s">
        <v>24</v>
      </c>
      <c r="E8" s="6" t="s">
        <v>25</v>
      </c>
      <c r="F8" s="6" t="s">
        <v>13</v>
      </c>
    </row>
    <row r="9" customFormat="false" ht="15" hidden="false" customHeight="false" outlineLevel="0" collapsed="false">
      <c r="A9" s="3" t="n">
        <v>7</v>
      </c>
      <c r="B9" s="4" t="s">
        <v>26</v>
      </c>
      <c r="C9" s="9" t="n">
        <v>-800</v>
      </c>
      <c r="D9" s="4" t="s">
        <v>27</v>
      </c>
      <c r="E9" s="3" t="s">
        <v>28</v>
      </c>
      <c r="F9" s="3" t="s">
        <v>13</v>
      </c>
    </row>
    <row r="10" customFormat="false" ht="15" hidden="false" customHeight="false" outlineLevel="0" collapsed="false">
      <c r="A10" s="6" t="n">
        <v>8</v>
      </c>
      <c r="B10" s="7" t="s">
        <v>29</v>
      </c>
      <c r="C10" s="8" t="n">
        <v>-1500</v>
      </c>
      <c r="D10" s="7" t="s">
        <v>30</v>
      </c>
      <c r="E10" s="6" t="s">
        <v>31</v>
      </c>
      <c r="F10" s="6" t="s">
        <v>13</v>
      </c>
    </row>
    <row r="11" customFormat="false" ht="15" hidden="false" customHeight="false" outlineLevel="0" collapsed="false">
      <c r="A11" s="3" t="n">
        <v>9</v>
      </c>
      <c r="B11" s="4" t="s">
        <v>32</v>
      </c>
      <c r="C11" s="9" t="n">
        <v>-3500</v>
      </c>
      <c r="D11" s="4" t="s">
        <v>33</v>
      </c>
      <c r="E11" s="3" t="s">
        <v>34</v>
      </c>
      <c r="F11" s="3" t="s">
        <v>13</v>
      </c>
    </row>
    <row r="12" customFormat="false" ht="15" hidden="false" customHeight="false" outlineLevel="0" collapsed="false">
      <c r="A12" s="6" t="n">
        <v>10</v>
      </c>
      <c r="B12" s="7" t="s">
        <v>35</v>
      </c>
      <c r="C12" s="8" t="n">
        <v>-5000</v>
      </c>
      <c r="D12" s="7" t="s">
        <v>36</v>
      </c>
      <c r="E12" s="6" t="s">
        <v>37</v>
      </c>
      <c r="F12" s="6" t="s">
        <v>13</v>
      </c>
    </row>
    <row r="13" customFormat="false" ht="15" hidden="false" customHeight="false" outlineLevel="0" collapsed="false">
      <c r="A13" s="3" t="n">
        <v>11</v>
      </c>
      <c r="B13" s="4" t="s">
        <v>38</v>
      </c>
      <c r="C13" s="9" t="n">
        <v>-1200</v>
      </c>
      <c r="D13" s="4" t="s">
        <v>39</v>
      </c>
      <c r="E13" s="3" t="s">
        <v>40</v>
      </c>
      <c r="F13" s="3" t="s">
        <v>13</v>
      </c>
    </row>
    <row r="14" customFormat="false" ht="15" hidden="false" customHeight="false" outlineLevel="0" collapsed="false">
      <c r="A14" s="6" t="n">
        <v>12</v>
      </c>
      <c r="B14" s="7" t="s">
        <v>41</v>
      </c>
      <c r="C14" s="10" t="n">
        <v>8000</v>
      </c>
      <c r="D14" s="7" t="s">
        <v>8</v>
      </c>
      <c r="E14" s="6" t="s">
        <v>42</v>
      </c>
      <c r="F14" s="6" t="s">
        <v>10</v>
      </c>
    </row>
    <row r="15" customFormat="false" ht="15" hidden="false" customHeight="false" outlineLevel="0" collapsed="false">
      <c r="A15" s="11" t="s">
        <v>43</v>
      </c>
      <c r="B15" s="12"/>
      <c r="C15" s="13" t="n">
        <f aca="false">SUM(C3:C14)</f>
        <v>29501</v>
      </c>
      <c r="D15" s="12"/>
      <c r="E15" s="12"/>
      <c r="F15" s="12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5" min="3" style="0" width="16"/>
    <col collapsed="false" customWidth="true" hidden="false" outlineLevel="0" max="6" min="6" style="0" width="5"/>
  </cols>
  <sheetData>
    <row r="1" customFormat="false" ht="31.5" hidden="false" customHeight="true" outlineLevel="0" collapsed="false">
      <c r="A1" s="14" t="s">
        <v>44</v>
      </c>
      <c r="B1" s="14"/>
      <c r="C1" s="14"/>
      <c r="D1" s="14"/>
      <c r="E1" s="14"/>
      <c r="F1" s="14"/>
    </row>
    <row r="3" customFormat="false" ht="21.75" hidden="false" customHeight="true" outlineLevel="0" collapsed="false">
      <c r="B3" s="15" t="s">
        <v>45</v>
      </c>
      <c r="C3" s="16" t="s">
        <v>46</v>
      </c>
      <c r="D3" s="17" t="s">
        <v>47</v>
      </c>
      <c r="E3" s="18" t="s">
        <v>48</v>
      </c>
    </row>
    <row r="4" customFormat="false" ht="36" hidden="false" customHeight="true" outlineLevel="0" collapsed="false">
      <c r="B4" s="19" t="n">
        <f aca="false">Transactions!C3+Transactions!C14</f>
        <v>63000</v>
      </c>
      <c r="C4" s="20" t="n">
        <f aca="false">ABS(SUM(Transactions!C4:C13))</f>
        <v>33499</v>
      </c>
      <c r="D4" s="21" t="n">
        <f aca="false">B4-C4</f>
        <v>29501</v>
      </c>
      <c r="E4" s="22" t="n">
        <f aca="false">IF(B4&gt;0,D4/B4,0)</f>
        <v>0.468269841269841</v>
      </c>
    </row>
    <row r="6" customFormat="false" ht="15" hidden="false" customHeight="false" outlineLevel="0" collapsed="false">
      <c r="A6" s="23" t="s">
        <v>4</v>
      </c>
      <c r="B6" s="23" t="s">
        <v>49</v>
      </c>
      <c r="C6" s="23" t="s">
        <v>50</v>
      </c>
      <c r="D6" s="23" t="s">
        <v>51</v>
      </c>
      <c r="E6" s="23" t="s">
        <v>52</v>
      </c>
    </row>
    <row r="7" customFormat="false" ht="15" hidden="false" customHeight="false" outlineLevel="0" collapsed="false">
      <c r="A7" s="24" t="s">
        <v>12</v>
      </c>
      <c r="B7" s="25" t="n">
        <f aca="false">ABS(Transactions!C4)</f>
        <v>12000</v>
      </c>
      <c r="C7" s="26" t="n">
        <v>12000</v>
      </c>
      <c r="D7" s="27" t="n">
        <f aca="false">IF(C4&gt;0,ABS(Transactions!C4)/C4,0)</f>
        <v>0.358219648347712</v>
      </c>
      <c r="E7" s="28" t="str">
        <f aca="false">IF(B7&gt;C7,"⚠ Over Budget","✅ OK")</f>
        <v>✅ OK</v>
      </c>
    </row>
    <row r="8" customFormat="false" ht="15" hidden="false" customHeight="false" outlineLevel="0" collapsed="false">
      <c r="A8" s="29" t="s">
        <v>15</v>
      </c>
      <c r="B8" s="30" t="n">
        <f aca="false">ABS(Transactions!C5)</f>
        <v>4500</v>
      </c>
      <c r="C8" s="31" t="n">
        <v>5000</v>
      </c>
      <c r="D8" s="32" t="n">
        <f aca="false">IF(C4&gt;0,ABS(Transactions!C5)/C4,0)</f>
        <v>0.134332368130392</v>
      </c>
      <c r="E8" s="33" t="str">
        <f aca="false">IF(B8&gt;C8,"⚠ Over Budget","✅ OK")</f>
        <v>✅ OK</v>
      </c>
    </row>
    <row r="9" customFormat="false" ht="15" hidden="false" customHeight="false" outlineLevel="0" collapsed="false">
      <c r="A9" s="24" t="s">
        <v>21</v>
      </c>
      <c r="B9" s="25" t="n">
        <f aca="false">ABS(Transactions!C6)</f>
        <v>1800</v>
      </c>
      <c r="C9" s="26" t="n">
        <v>2500</v>
      </c>
      <c r="D9" s="27" t="n">
        <f aca="false">IF(C4&gt;0,ABS(Transactions!C6)/C4,0)</f>
        <v>0.0537329472521568</v>
      </c>
      <c r="E9" s="28" t="str">
        <f aca="false">IF(B9&gt;C9,"⚠ Over Budget","✅ OK")</f>
        <v>✅ OK</v>
      </c>
    </row>
    <row r="10" customFormat="false" ht="15" hidden="false" customHeight="false" outlineLevel="0" collapsed="false">
      <c r="A10" s="29" t="s">
        <v>18</v>
      </c>
      <c r="B10" s="30" t="n">
        <f aca="false">ABS(Transactions!C7)</f>
        <v>2200</v>
      </c>
      <c r="C10" s="31" t="n">
        <v>2000</v>
      </c>
      <c r="D10" s="32" t="n">
        <f aca="false">IF(C4&gt;0,ABS(Transactions!C7)/C4,0)</f>
        <v>0.0656736021970805</v>
      </c>
      <c r="E10" s="33" t="str">
        <f aca="false">IF(B10&gt;C10,"⚠ Over Budget","✅ OK")</f>
        <v>⚠ Over Budget</v>
      </c>
    </row>
    <row r="11" customFormat="false" ht="15" hidden="false" customHeight="false" outlineLevel="0" collapsed="false">
      <c r="A11" s="24" t="s">
        <v>24</v>
      </c>
      <c r="B11" s="25" t="n">
        <f aca="false">ABS(Transactions!C8)</f>
        <v>999</v>
      </c>
      <c r="C11" s="26" t="n">
        <v>1500</v>
      </c>
      <c r="D11" s="27" t="n">
        <f aca="false">IF(C4&gt;0,ABS(Transactions!C8)/C4,0)</f>
        <v>0.029821785724947</v>
      </c>
      <c r="E11" s="28" t="str">
        <f aca="false">IF(B11&gt;C11,"⚠ Over Budget","✅ OK")</f>
        <v>✅ OK</v>
      </c>
    </row>
    <row r="12" customFormat="false" ht="15" hidden="false" customHeight="false" outlineLevel="0" collapsed="false">
      <c r="A12" s="29" t="s">
        <v>27</v>
      </c>
      <c r="B12" s="30" t="n">
        <f aca="false">ABS(Transactions!C9)</f>
        <v>800</v>
      </c>
      <c r="C12" s="31" t="n">
        <v>1000</v>
      </c>
      <c r="D12" s="32" t="n">
        <f aca="false">IF(C4&gt;0,ABS(Transactions!C9)/C4,0)</f>
        <v>0.0238813098898475</v>
      </c>
      <c r="E12" s="33" t="str">
        <f aca="false">IF(B12&gt;C12,"⚠ Over Budget","✅ OK")</f>
        <v>✅ OK</v>
      </c>
    </row>
    <row r="13" customFormat="false" ht="15" hidden="false" customHeight="false" outlineLevel="0" collapsed="false">
      <c r="A13" s="24" t="s">
        <v>30</v>
      </c>
      <c r="B13" s="25" t="n">
        <f aca="false">ABS(Transactions!C10)</f>
        <v>1500</v>
      </c>
      <c r="C13" s="26" t="n">
        <v>2000</v>
      </c>
      <c r="D13" s="27" t="n">
        <f aca="false">IF(C4&gt;0,ABS(Transactions!C10)/C4,0)</f>
        <v>0.044777456043464</v>
      </c>
      <c r="E13" s="28" t="str">
        <f aca="false">IF(B13&gt;C13,"⚠ Over Budget","✅ OK")</f>
        <v>✅ OK</v>
      </c>
    </row>
    <row r="14" customFormat="false" ht="15" hidden="false" customHeight="false" outlineLevel="0" collapsed="false">
      <c r="A14" s="29" t="s">
        <v>33</v>
      </c>
      <c r="B14" s="30" t="n">
        <f aca="false">ABS(Transactions!C11)</f>
        <v>3500</v>
      </c>
      <c r="C14" s="31" t="n">
        <v>4000</v>
      </c>
      <c r="D14" s="32" t="n">
        <f aca="false">IF(C4&gt;0,ABS(Transactions!C11)/C4,0)</f>
        <v>0.104480730768083</v>
      </c>
      <c r="E14" s="33" t="str">
        <f aca="false">IF(B14&gt;C14,"⚠ Over Budget","✅ OK")</f>
        <v>✅ OK</v>
      </c>
    </row>
    <row r="15" customFormat="false" ht="15" hidden="false" customHeight="false" outlineLevel="0" collapsed="false">
      <c r="A15" s="24" t="s">
        <v>36</v>
      </c>
      <c r="B15" s="25" t="n">
        <f aca="false">ABS(Transactions!C12)</f>
        <v>5000</v>
      </c>
      <c r="C15" s="26" t="n">
        <v>5000</v>
      </c>
      <c r="D15" s="27" t="n">
        <f aca="false">IF(C4&gt;0,ABS(Transactions!C12)/C4,0)</f>
        <v>0.149258186811547</v>
      </c>
      <c r="E15" s="28" t="str">
        <f aca="false">IF(B15&gt;C15,"⚠ Over Budget","✅ OK")</f>
        <v>✅ OK</v>
      </c>
    </row>
    <row r="16" customFormat="false" ht="15" hidden="false" customHeight="false" outlineLevel="0" collapsed="false">
      <c r="A16" s="29" t="s">
        <v>39</v>
      </c>
      <c r="B16" s="30" t="n">
        <f aca="false">ABS(Transactions!C13)</f>
        <v>1200</v>
      </c>
      <c r="C16" s="31" t="n">
        <v>1500</v>
      </c>
      <c r="D16" s="32" t="n">
        <f aca="false">IF(C4&gt;0,ABS(Transactions!C13)/C4,0)</f>
        <v>0.0358219648347712</v>
      </c>
      <c r="E16" s="33" t="str">
        <f aca="false">IF(B16&gt;C16,"⚠ Over Budget","✅ OK")</f>
        <v>✅ OK</v>
      </c>
    </row>
    <row r="18" customFormat="false" ht="15" hidden="false" customHeight="false" outlineLevel="0" collapsed="false">
      <c r="A18" s="34" t="s">
        <v>53</v>
      </c>
      <c r="B18" s="35" t="n">
        <f aca="false">AVERAGE(B7:B16)</f>
        <v>3349.9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5" min="3" style="0" width="16"/>
    <col collapsed="false" customWidth="true" hidden="false" outlineLevel="0" max="6" min="6" style="0" width="18"/>
  </cols>
  <sheetData>
    <row r="1" customFormat="false" ht="30" hidden="false" customHeight="true" outlineLevel="0" collapsed="false">
      <c r="A1" s="1" t="s">
        <v>54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3" t="s">
        <v>1</v>
      </c>
      <c r="B2" s="23" t="s">
        <v>4</v>
      </c>
      <c r="C2" s="23" t="s">
        <v>55</v>
      </c>
      <c r="D2" s="23" t="s">
        <v>49</v>
      </c>
      <c r="E2" s="23" t="s">
        <v>56</v>
      </c>
      <c r="F2" s="23" t="s">
        <v>52</v>
      </c>
    </row>
    <row r="3" customFormat="false" ht="15" hidden="false" customHeight="false" outlineLevel="0" collapsed="false">
      <c r="A3" s="24" t="n">
        <v>1</v>
      </c>
      <c r="B3" s="24" t="s">
        <v>12</v>
      </c>
      <c r="C3" s="26" t="n">
        <v>12000</v>
      </c>
      <c r="D3" s="25" t="n">
        <f aca="false">ABS(Transactions!C4)</f>
        <v>12000</v>
      </c>
      <c r="E3" s="25" t="n">
        <f aca="false">C3-D3</f>
        <v>0</v>
      </c>
      <c r="F3" s="28" t="str">
        <f aca="false">IF(E3&gt;=0,"✅ Under Budget","⚠ Over Budget")</f>
        <v>✅ Under Budget</v>
      </c>
    </row>
    <row r="4" customFormat="false" ht="15" hidden="false" customHeight="false" outlineLevel="0" collapsed="false">
      <c r="A4" s="29" t="n">
        <v>2</v>
      </c>
      <c r="B4" s="29" t="s">
        <v>15</v>
      </c>
      <c r="C4" s="31" t="n">
        <v>5000</v>
      </c>
      <c r="D4" s="30" t="n">
        <f aca="false">ABS(Transactions!C5)</f>
        <v>4500</v>
      </c>
      <c r="E4" s="30" t="n">
        <f aca="false">C4-D4</f>
        <v>500</v>
      </c>
      <c r="F4" s="33" t="str">
        <f aca="false">IF(E4&gt;=0,"✅ Under Budget","⚠ Over Budget")</f>
        <v>✅ Under Budget</v>
      </c>
    </row>
    <row r="5" customFormat="false" ht="15" hidden="false" customHeight="false" outlineLevel="0" collapsed="false">
      <c r="A5" s="24" t="n">
        <v>3</v>
      </c>
      <c r="B5" s="24" t="s">
        <v>21</v>
      </c>
      <c r="C5" s="26" t="n">
        <v>2500</v>
      </c>
      <c r="D5" s="25" t="n">
        <f aca="false">ABS(Transactions!C6)</f>
        <v>1800</v>
      </c>
      <c r="E5" s="25" t="n">
        <f aca="false">C5-D5</f>
        <v>700</v>
      </c>
      <c r="F5" s="28" t="str">
        <f aca="false">IF(E5&gt;=0,"✅ Under Budget","⚠ Over Budget")</f>
        <v>✅ Under Budget</v>
      </c>
    </row>
    <row r="6" customFormat="false" ht="15" hidden="false" customHeight="false" outlineLevel="0" collapsed="false">
      <c r="A6" s="29" t="n">
        <v>4</v>
      </c>
      <c r="B6" s="29" t="s">
        <v>18</v>
      </c>
      <c r="C6" s="31" t="n">
        <v>2000</v>
      </c>
      <c r="D6" s="30" t="n">
        <f aca="false">ABS(Transactions!C7)</f>
        <v>2200</v>
      </c>
      <c r="E6" s="30" t="n">
        <f aca="false">C6-D6</f>
        <v>-200</v>
      </c>
      <c r="F6" s="33" t="str">
        <f aca="false">IF(E6&gt;=0,"✅ Under Budget","⚠ Over Budget")</f>
        <v>⚠ Over Budget</v>
      </c>
    </row>
    <row r="7" customFormat="false" ht="15" hidden="false" customHeight="false" outlineLevel="0" collapsed="false">
      <c r="A7" s="24" t="n">
        <v>5</v>
      </c>
      <c r="B7" s="24" t="s">
        <v>24</v>
      </c>
      <c r="C7" s="26" t="n">
        <v>1500</v>
      </c>
      <c r="D7" s="25" t="n">
        <f aca="false">ABS(Transactions!C8)</f>
        <v>999</v>
      </c>
      <c r="E7" s="25" t="n">
        <f aca="false">C7-D7</f>
        <v>501</v>
      </c>
      <c r="F7" s="28" t="str">
        <f aca="false">IF(E7&gt;=0,"✅ Under Budget","⚠ Over Budget")</f>
        <v>✅ Under Budget</v>
      </c>
    </row>
    <row r="8" customFormat="false" ht="15" hidden="false" customHeight="false" outlineLevel="0" collapsed="false">
      <c r="A8" s="29" t="n">
        <v>6</v>
      </c>
      <c r="B8" s="29" t="s">
        <v>27</v>
      </c>
      <c r="C8" s="31" t="n">
        <v>1000</v>
      </c>
      <c r="D8" s="30" t="n">
        <f aca="false">ABS(Transactions!C9)</f>
        <v>800</v>
      </c>
      <c r="E8" s="30" t="n">
        <f aca="false">C8-D8</f>
        <v>200</v>
      </c>
      <c r="F8" s="33" t="str">
        <f aca="false">IF(E8&gt;=0,"✅ Under Budget","⚠ Over Budget")</f>
        <v>✅ Under Budget</v>
      </c>
    </row>
    <row r="9" customFormat="false" ht="15" hidden="false" customHeight="false" outlineLevel="0" collapsed="false">
      <c r="A9" s="24" t="n">
        <v>7</v>
      </c>
      <c r="B9" s="24" t="s">
        <v>30</v>
      </c>
      <c r="C9" s="26" t="n">
        <v>2000</v>
      </c>
      <c r="D9" s="25" t="n">
        <f aca="false">ABS(Transactions!C10)</f>
        <v>1500</v>
      </c>
      <c r="E9" s="25" t="n">
        <f aca="false">C9-D9</f>
        <v>500</v>
      </c>
      <c r="F9" s="28" t="str">
        <f aca="false">IF(E9&gt;=0,"✅ Under Budget","⚠ Over Budget")</f>
        <v>✅ Under Budget</v>
      </c>
    </row>
    <row r="10" customFormat="false" ht="15" hidden="false" customHeight="false" outlineLevel="0" collapsed="false">
      <c r="A10" s="29" t="n">
        <v>8</v>
      </c>
      <c r="B10" s="29" t="s">
        <v>33</v>
      </c>
      <c r="C10" s="31" t="n">
        <v>4000</v>
      </c>
      <c r="D10" s="30" t="n">
        <f aca="false">ABS(Transactions!C11)</f>
        <v>3500</v>
      </c>
      <c r="E10" s="30" t="n">
        <f aca="false">C10-D10</f>
        <v>500</v>
      </c>
      <c r="F10" s="33" t="str">
        <f aca="false">IF(E10&gt;=0,"✅ Under Budget","⚠ Over Budget")</f>
        <v>✅ Under Budget</v>
      </c>
    </row>
    <row r="11" customFormat="false" ht="15" hidden="false" customHeight="false" outlineLevel="0" collapsed="false">
      <c r="A11" s="24" t="n">
        <v>9</v>
      </c>
      <c r="B11" s="24" t="s">
        <v>36</v>
      </c>
      <c r="C11" s="26" t="n">
        <v>5000</v>
      </c>
      <c r="D11" s="25" t="n">
        <f aca="false">ABS(Transactions!C12)</f>
        <v>5000</v>
      </c>
      <c r="E11" s="25" t="n">
        <f aca="false">C11-D11</f>
        <v>0</v>
      </c>
      <c r="F11" s="28" t="str">
        <f aca="false">IF(E11&gt;=0,"✅ Under Budget","⚠ Over Budget")</f>
        <v>✅ Under Budget</v>
      </c>
    </row>
    <row r="12" customFormat="false" ht="15" hidden="false" customHeight="false" outlineLevel="0" collapsed="false">
      <c r="A12" s="29" t="n">
        <v>10</v>
      </c>
      <c r="B12" s="29" t="s">
        <v>39</v>
      </c>
      <c r="C12" s="31" t="n">
        <v>1500</v>
      </c>
      <c r="D12" s="30" t="n">
        <f aca="false">ABS(Transactions!C13)</f>
        <v>1200</v>
      </c>
      <c r="E12" s="30" t="n">
        <f aca="false">C12-D12</f>
        <v>300</v>
      </c>
      <c r="F12" s="33" t="str">
        <f aca="false">IF(E12&gt;=0,"✅ Under Budget","⚠ Over Budget")</f>
        <v>✅ Under Budget</v>
      </c>
    </row>
    <row r="13" customFormat="false" ht="15" hidden="false" customHeight="false" outlineLevel="0" collapsed="false">
      <c r="A13" s="12" t="s">
        <v>57</v>
      </c>
      <c r="B13" s="12"/>
      <c r="C13" s="36" t="n">
        <f aca="false">SUM(C3:C12)</f>
        <v>36500</v>
      </c>
      <c r="D13" s="36" t="n">
        <f aca="false">SUM(D3:D12)</f>
        <v>33499</v>
      </c>
      <c r="E13" s="36" t="n">
        <f aca="false">SUM(E3:E12)</f>
        <v>3001</v>
      </c>
      <c r="F13" s="12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0" hidden="false" customHeight="true" outlineLevel="0" collapsed="false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0" t="s">
        <v>4</v>
      </c>
      <c r="B2" s="0" t="s">
        <v>59</v>
      </c>
    </row>
    <row r="3" customFormat="false" ht="15" hidden="false" customHeight="false" outlineLevel="0" collapsed="false">
      <c r="A3" s="0" t="s">
        <v>12</v>
      </c>
      <c r="B3" s="0" t="n">
        <f aca="false">ABS(Transactions!C4)</f>
        <v>12000</v>
      </c>
    </row>
    <row r="4" customFormat="false" ht="15" hidden="false" customHeight="false" outlineLevel="0" collapsed="false">
      <c r="A4" s="0" t="s">
        <v>15</v>
      </c>
      <c r="B4" s="0" t="n">
        <f aca="false">ABS(Transactions!C5)</f>
        <v>4500</v>
      </c>
    </row>
    <row r="5" customFormat="false" ht="15" hidden="false" customHeight="false" outlineLevel="0" collapsed="false">
      <c r="A5" s="0" t="s">
        <v>21</v>
      </c>
      <c r="B5" s="0" t="n">
        <f aca="false">ABS(Transactions!C6)</f>
        <v>1800</v>
      </c>
    </row>
    <row r="6" customFormat="false" ht="15" hidden="false" customHeight="false" outlineLevel="0" collapsed="false">
      <c r="A6" s="0" t="s">
        <v>18</v>
      </c>
      <c r="B6" s="0" t="n">
        <f aca="false">ABS(Transactions!C7)</f>
        <v>2200</v>
      </c>
    </row>
    <row r="7" customFormat="false" ht="15" hidden="false" customHeight="false" outlineLevel="0" collapsed="false">
      <c r="A7" s="0" t="s">
        <v>24</v>
      </c>
      <c r="B7" s="0" t="n">
        <f aca="false">ABS(Transactions!C8)</f>
        <v>999</v>
      </c>
    </row>
    <row r="8" customFormat="false" ht="15" hidden="false" customHeight="false" outlineLevel="0" collapsed="false">
      <c r="A8" s="0" t="s">
        <v>27</v>
      </c>
      <c r="B8" s="0" t="n">
        <f aca="false">ABS(Transactions!C9)</f>
        <v>800</v>
      </c>
    </row>
    <row r="9" customFormat="false" ht="15" hidden="false" customHeight="false" outlineLevel="0" collapsed="false">
      <c r="A9" s="0" t="s">
        <v>30</v>
      </c>
      <c r="B9" s="0" t="n">
        <f aca="false">ABS(Transactions!C10)</f>
        <v>1500</v>
      </c>
    </row>
    <row r="10" customFormat="false" ht="15" hidden="false" customHeight="false" outlineLevel="0" collapsed="false">
      <c r="A10" s="0" t="s">
        <v>33</v>
      </c>
      <c r="B10" s="0" t="n">
        <f aca="false">ABS(Transactions!C11)</f>
        <v>3500</v>
      </c>
    </row>
    <row r="11" customFormat="false" ht="15" hidden="false" customHeight="false" outlineLevel="0" collapsed="false">
      <c r="A11" s="0" t="s">
        <v>36</v>
      </c>
      <c r="B11" s="0" t="n">
        <f aca="false">ABS(Transactions!C12)</f>
        <v>5000</v>
      </c>
    </row>
    <row r="12" customFormat="false" ht="15" hidden="false" customHeight="false" outlineLevel="0" collapsed="false">
      <c r="A12" s="0" t="s">
        <v>39</v>
      </c>
      <c r="B12" s="0" t="n">
        <f aca="false">ABS(Transactions!C13)</f>
        <v>1200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2026-03-26T04:51:04Z</dcterms:created>
  <dc:creator>openpyxl</dc:creator>
  <dc:description/>
  <dc:language>en-US</dc:language>
  <cp:lastModifiedBy/>
  <dcterms:modified xsi:type="dcterms:W3CDTF">2026-03-26T04:51:10Z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